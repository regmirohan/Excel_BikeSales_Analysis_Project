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ohan\Desktop\DATA\Excel Projects\"/>
    </mc:Choice>
  </mc:AlternateContent>
  <xr:revisionPtr revIDLastSave="0" documentId="13_ncr:1_{5C29E80A-B077-4974-B7C5-6D2E966B7BEC}" xr6:coauthVersionLast="47" xr6:coauthVersionMax="47" xr10:uidLastSave="{00000000-0000-0000-0000-000000000000}"/>
  <bookViews>
    <workbookView xWindow="-98" yWindow="-98" windowWidth="19396" windowHeight="12196" activeTab="1"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<sst xmlns="http://schemas.openxmlformats.org/spreadsheetml/2006/main" count="16267" uniqueCount="51">
  <si>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</si>
  <si>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</si>
  <si>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</si>
  <si>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</si>
  <si>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</si>
  <si>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</si>
  <si>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</si>
  <si>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</si>
  <si>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</si>
  <si>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</si>
  <si>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</si>
  <si>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</si>
  <si>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</si>
  <si>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</si>
  <si>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</si>
  <si>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</si>
  <si>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</si>
  <si>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</si>
  <si>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</si>
  <si>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</si>
  <si>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</si>
  <si>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</si>
  <si>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</si>
  <si>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</si>
  <si>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</si>
  <si>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</si>
  <si>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</si>
  <si>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</si>
  <si>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</si>
  <si>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</si>
  <si>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</si>
  <si>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</si>
  <si>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</si>
  <si>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</si>
  <si>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</si>
  <si>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</si>
  <si>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</si>
  <si>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</si>
  <si>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</si>
  <si>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</si>
  <si>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</si>
  <si>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</si>
  <si>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</si>
  <si>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</si>
  <si>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Middle Age</t>
  </si>
  <si>
    <t>Adolescent</t>
  </si>
  <si>
    <t>Old</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</si>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</sst>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Bike Buyers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Tables'!$D$5:$D$6</c:f>
              <c:strCache>
                <c:ptCount val="1"/>
                <c:pt idx="0">
                  <c:v>No</c:v>
                </c:pt>
              </c:strCache>
            </c:strRef>
          </c:tx>
          <c:spPr>
            <a:solidFill>
              <a:schemeClr val="accent1"/>
            </a:solidFill>
            <a:ln>
              <a:noFill/>
            </a:ln>
            <a:effectLst/>
          </c:spPr>
          <c:invertIfNegative val="0"/>
          <c:cat>
            <c:strRef>
              <c:f>'Pivot Tables'!$C$7:$C$9</c:f>
              <c:strCache>
                <c:ptCount val="2"/>
                <c:pt idx="0">
                  <c:v>Female</c:v>
                </c:pt>
                <c:pt idx="1">
                  <c:v>Male</c:v>
                </c:pt>
              </c:strCache>
            </c:strRef>
          </c:cat>
          <c:val>
            <c:numRef>
              <c:f>'Pivot Tables'!$D$7:$D$9</c:f>
              <c:numCache>
                <c:formatCode>0</c:formatCode>
                <c:ptCount val="2"/>
                <c:pt idx="0">
                  <c:v>53440</c:v>
                </c:pt>
                <c:pt idx="1">
                  <c:v>56208.178438661707</c:v>
                </c:pt>
              </c:numCache>
            </c:numRef>
          </c:val>
          <c:extLst>
            <c:ext xmlns:c16="http://schemas.microsoft.com/office/drawing/2014/chart" uri="{C3380CC4-5D6E-409C-BE32-E72D297353CC}">
              <c16:uniqueId val="{00000000-66B4-45A0-B67D-5A1C6310063E}"/>
            </c:ext>
          </c:extLst>
        </c:ser>
        <c:ser>
          <c:idx val="1"/>
          <c:order val="1"/>
          <c:tx>
            <c:strRef>
              <c:f>'Pivot Tables'!$E$5:$E$6</c:f>
              <c:strCache>
                <c:ptCount val="1"/>
                <c:pt idx="0">
                  <c:v>Yes</c:v>
                </c:pt>
              </c:strCache>
            </c:strRef>
          </c:tx>
          <c:spPr>
            <a:solidFill>
              <a:schemeClr val="accent2"/>
            </a:solidFill>
            <a:ln>
              <a:noFill/>
            </a:ln>
            <a:effectLst/>
          </c:spPr>
          <c:invertIfNegative val="0"/>
          <c:cat>
            <c:strRef>
              <c:f>'Pivot Tables'!$C$7:$C$9</c:f>
              <c:strCache>
                <c:ptCount val="2"/>
                <c:pt idx="0">
                  <c:v>Female</c:v>
                </c:pt>
                <c:pt idx="1">
                  <c:v>Male</c:v>
                </c:pt>
              </c:strCache>
            </c:strRef>
          </c:cat>
          <c:val>
            <c:numRef>
              <c:f>'Pivot Tables'!$E$7:$E$9</c:f>
              <c:numCache>
                <c:formatCode>0</c:formatCode>
                <c:ptCount val="2"/>
                <c:pt idx="0">
                  <c:v>55774.058577405856</c:v>
                </c:pt>
                <c:pt idx="1">
                  <c:v>60123.966942148763</c:v>
                </c:pt>
              </c:numCache>
            </c:numRef>
          </c:val>
          <c:extLst>
            <c:ext xmlns:c16="http://schemas.microsoft.com/office/drawing/2014/chart" uri="{C3380CC4-5D6E-409C-BE32-E72D297353CC}">
              <c16:uniqueId val="{00000001-66B4-45A0-B67D-5A1C6310063E}"/>
            </c:ext>
          </c:extLst>
        </c:ser>
        <c:dLbls>
          <c:showLegendKey val="0"/>
          <c:showVal val="0"/>
          <c:showCatName val="0"/>
          <c:showSerName val="0"/>
          <c:showPercent val="0"/>
          <c:showBubbleSize val="0"/>
        </c:dLbls>
        <c:gapWidth val="219"/>
        <c:overlap val="-27"/>
        <c:axId val="1358511424"/>
        <c:axId val="1358512384"/>
      </c:barChart>
      <c:catAx>
        <c:axId val="135851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12384"/>
        <c:crosses val="autoZero"/>
        <c:auto val="1"/>
        <c:lblAlgn val="ctr"/>
        <c:lblOffset val="100"/>
        <c:noMultiLvlLbl val="0"/>
      </c:catAx>
      <c:valAx>
        <c:axId val="135851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11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Tables'!$D$22:$D$23</c:f>
              <c:strCache>
                <c:ptCount val="1"/>
                <c:pt idx="0">
                  <c:v>No</c:v>
                </c:pt>
              </c:strCache>
            </c:strRef>
          </c:tx>
          <c:spPr>
            <a:ln w="28575" cap="rnd">
              <a:solidFill>
                <a:schemeClr val="accent1"/>
              </a:solidFill>
              <a:round/>
            </a:ln>
            <a:effectLst/>
          </c:spPr>
          <c:marker>
            <c:symbol val="none"/>
          </c:marker>
          <c:cat>
            <c:strRef>
              <c:f>'Pivot Tables'!$C$24:$C$29</c:f>
              <c:strCache>
                <c:ptCount val="5"/>
                <c:pt idx="0">
                  <c:v>0-1 Miles</c:v>
                </c:pt>
                <c:pt idx="1">
                  <c:v>1-2 Miles</c:v>
                </c:pt>
                <c:pt idx="2">
                  <c:v>2-5 Miles</c:v>
                </c:pt>
                <c:pt idx="3">
                  <c:v>5-10 Miles</c:v>
                </c:pt>
                <c:pt idx="4">
                  <c:v>More than 10 Miles</c:v>
                </c:pt>
              </c:strCache>
            </c:strRef>
          </c:cat>
          <c:val>
            <c:numRef>
              <c:f>'Pivot Tables'!$D$24:$D$29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46-4BCB-804A-E817FBF4AEFA}"/>
            </c:ext>
          </c:extLst>
        </c:ser>
        <c:ser>
          <c:idx val="1"/>
          <c:order val="1"/>
          <c:tx>
            <c:strRef>
              <c:f>'Pivot Tables'!$E$22:$E$23</c:f>
              <c:strCache>
                <c:ptCount val="1"/>
                <c:pt idx="0">
                  <c:v>Yes</c:v>
                </c:pt>
              </c:strCache>
            </c:strRef>
          </c:tx>
          <c:spPr>
            <a:ln w="28575" cap="rnd">
              <a:solidFill>
                <a:schemeClr val="accent2"/>
              </a:solidFill>
              <a:round/>
            </a:ln>
            <a:effectLst/>
          </c:spPr>
          <c:marker>
            <c:symbol val="none"/>
          </c:marker>
          <c:cat>
            <c:strRef>
              <c:f>'Pivot Tables'!$C$24:$C$29</c:f>
              <c:strCache>
                <c:ptCount val="5"/>
                <c:pt idx="0">
                  <c:v>0-1 Miles</c:v>
                </c:pt>
                <c:pt idx="1">
                  <c:v>1-2 Miles</c:v>
                </c:pt>
                <c:pt idx="2">
                  <c:v>2-5 Miles</c:v>
                </c:pt>
                <c:pt idx="3">
                  <c:v>5-10 Miles</c:v>
                </c:pt>
                <c:pt idx="4">
                  <c:v>More than 10 Miles</c:v>
                </c:pt>
              </c:strCache>
            </c:strRef>
          </c:cat>
          <c:val>
            <c:numRef>
              <c:f>'Pivot Tables'!$E$24:$E$29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46-4BCB-804A-E817FBF4AEFA}"/>
            </c:ext>
          </c:extLst>
        </c:ser>
        <c:dLbls>
          <c:showLegendKey val="0"/>
          <c:showVal val="0"/>
          <c:showCatName val="0"/>
          <c:showSerName val="0"/>
          <c:showPercent val="0"/>
          <c:showBubbleSize val="0"/>
        </c:dLbls>
        <c:smooth val="0"/>
        <c:axId val="1358541664"/>
        <c:axId val="1358544544"/>
      </c:lineChart>
      <c:catAx>
        <c:axId val="135854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44544"/>
        <c:crosses val="autoZero"/>
        <c:auto val="1"/>
        <c:lblAlgn val="ctr"/>
        <c:lblOffset val="100"/>
        <c:noMultiLvlLbl val="0"/>
      </c:catAx>
      <c:valAx>
        <c:axId val="135854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4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Tables'!$D$47:$D$48</c:f>
              <c:strCache>
                <c:ptCount val="1"/>
                <c:pt idx="0">
                  <c:v>No</c:v>
                </c:pt>
              </c:strCache>
            </c:strRef>
          </c:tx>
          <c:spPr>
            <a:ln w="28575" cap="rnd">
              <a:solidFill>
                <a:schemeClr val="accent1"/>
              </a:solidFill>
              <a:round/>
            </a:ln>
            <a:effectLst/>
          </c:spPr>
          <c:marker>
            <c:symbol val="none"/>
          </c:marker>
          <c:cat>
            <c:strRef>
              <c:f>'Pivot Tables'!$C$49:$C$52</c:f>
              <c:strCache>
                <c:ptCount val="3"/>
                <c:pt idx="0">
                  <c:v>Adolescent</c:v>
                </c:pt>
                <c:pt idx="1">
                  <c:v>Middle Age</c:v>
                </c:pt>
                <c:pt idx="2">
                  <c:v>Old</c:v>
                </c:pt>
              </c:strCache>
            </c:strRef>
          </c:cat>
          <c:val>
            <c:numRef>
              <c:f>'Pivot Tables'!$D$49:$D$52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788-48E3-9365-179EDAA97F10}"/>
            </c:ext>
          </c:extLst>
        </c:ser>
        <c:ser>
          <c:idx val="1"/>
          <c:order val="1"/>
          <c:tx>
            <c:strRef>
              <c:f>'Pivot Tables'!$E$47:$E$48</c:f>
              <c:strCache>
                <c:ptCount val="1"/>
                <c:pt idx="0">
                  <c:v>Yes</c:v>
                </c:pt>
              </c:strCache>
            </c:strRef>
          </c:tx>
          <c:spPr>
            <a:ln w="28575" cap="rnd">
              <a:solidFill>
                <a:schemeClr val="accent2"/>
              </a:solidFill>
              <a:round/>
            </a:ln>
            <a:effectLst/>
          </c:spPr>
          <c:marker>
            <c:symbol val="none"/>
          </c:marker>
          <c:cat>
            <c:strRef>
              <c:f>'Pivot Tables'!$C$49:$C$52</c:f>
              <c:strCache>
                <c:ptCount val="3"/>
                <c:pt idx="0">
                  <c:v>Adolescent</c:v>
                </c:pt>
                <c:pt idx="1">
                  <c:v>Middle Age</c:v>
                </c:pt>
                <c:pt idx="2">
                  <c:v>Old</c:v>
                </c:pt>
              </c:strCache>
            </c:strRef>
          </c:cat>
          <c:val>
            <c:numRef>
              <c:f>'Pivot Tables'!$E$49:$E$52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788-48E3-9365-179EDAA97F10}"/>
            </c:ext>
          </c:extLst>
        </c:ser>
        <c:dLbls>
          <c:showLegendKey val="0"/>
          <c:showVal val="0"/>
          <c:showCatName val="0"/>
          <c:showSerName val="0"/>
          <c:showPercent val="0"/>
          <c:showBubbleSize val="0"/>
        </c:dLbls>
        <c:smooth val="0"/>
        <c:axId val="1602014768"/>
        <c:axId val="1602012368"/>
      </c:lineChart>
      <c:catAx>
        <c:axId val="160201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2368"/>
        <c:crosses val="autoZero"/>
        <c:auto val="1"/>
        <c:lblAlgn val="ctr"/>
        <c:lblOffset val="100"/>
        <c:noMultiLvlLbl val="0"/>
      </c:catAx>
      <c:valAx>
        <c:axId val="160201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Bike Buyers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Tables'!$D$5:$D$6</c:f>
              <c:strCache>
                <c:ptCount val="1"/>
                <c:pt idx="0">
                  <c:v>No</c:v>
                </c:pt>
              </c:strCache>
            </c:strRef>
          </c:tx>
          <c:spPr>
            <a:solidFill>
              <a:schemeClr val="accent1"/>
            </a:solidFill>
            <a:ln>
              <a:noFill/>
            </a:ln>
            <a:effectLst/>
          </c:spPr>
          <c:invertIfNegative val="0"/>
          <c:cat>
            <c:strRef>
              <c:f>'Pivot Tables'!$C$7:$C$9</c:f>
              <c:strCache>
                <c:ptCount val="2"/>
                <c:pt idx="0">
                  <c:v>Female</c:v>
                </c:pt>
                <c:pt idx="1">
                  <c:v>Male</c:v>
                </c:pt>
              </c:strCache>
            </c:strRef>
          </c:cat>
          <c:val>
            <c:numRef>
              <c:f>'Pivot Tables'!$D$7:$D$9</c:f>
              <c:numCache>
                <c:formatCode>0</c:formatCode>
                <c:ptCount val="2"/>
                <c:pt idx="0">
                  <c:v>53440</c:v>
                </c:pt>
                <c:pt idx="1">
                  <c:v>56208.178438661707</c:v>
                </c:pt>
              </c:numCache>
            </c:numRef>
          </c:val>
          <c:extLst>
            <c:ext xmlns:c16="http://schemas.microsoft.com/office/drawing/2014/chart" uri="{C3380CC4-5D6E-409C-BE32-E72D297353CC}">
              <c16:uniqueId val="{00000000-8C23-4661-9D9E-60DD89FC807A}"/>
            </c:ext>
          </c:extLst>
        </c:ser>
        <c:ser>
          <c:idx val="1"/>
          <c:order val="1"/>
          <c:tx>
            <c:strRef>
              <c:f>'Pivot Tables'!$E$5:$E$6</c:f>
              <c:strCache>
                <c:ptCount val="1"/>
                <c:pt idx="0">
                  <c:v>Yes</c:v>
                </c:pt>
              </c:strCache>
            </c:strRef>
          </c:tx>
          <c:spPr>
            <a:solidFill>
              <a:schemeClr val="accent2"/>
            </a:solidFill>
            <a:ln>
              <a:noFill/>
            </a:ln>
            <a:effectLst/>
          </c:spPr>
          <c:invertIfNegative val="0"/>
          <c:cat>
            <c:strRef>
              <c:f>'Pivot Tables'!$C$7:$C$9</c:f>
              <c:strCache>
                <c:ptCount val="2"/>
                <c:pt idx="0">
                  <c:v>Female</c:v>
                </c:pt>
                <c:pt idx="1">
                  <c:v>Male</c:v>
                </c:pt>
              </c:strCache>
            </c:strRef>
          </c:cat>
          <c:val>
            <c:numRef>
              <c:f>'Pivot Tables'!$E$7:$E$9</c:f>
              <c:numCache>
                <c:formatCode>0</c:formatCode>
                <c:ptCount val="2"/>
                <c:pt idx="0">
                  <c:v>55774.058577405856</c:v>
                </c:pt>
                <c:pt idx="1">
                  <c:v>60123.966942148763</c:v>
                </c:pt>
              </c:numCache>
            </c:numRef>
          </c:val>
          <c:extLst>
            <c:ext xmlns:c16="http://schemas.microsoft.com/office/drawing/2014/chart" uri="{C3380CC4-5D6E-409C-BE32-E72D297353CC}">
              <c16:uniqueId val="{00000001-8C23-4661-9D9E-60DD89FC807A}"/>
            </c:ext>
          </c:extLst>
        </c:ser>
        <c:dLbls>
          <c:showLegendKey val="0"/>
          <c:showVal val="0"/>
          <c:showCatName val="0"/>
          <c:showSerName val="0"/>
          <c:showPercent val="0"/>
          <c:showBubbleSize val="0"/>
        </c:dLbls>
        <c:gapWidth val="219"/>
        <c:overlap val="-27"/>
        <c:axId val="1358511424"/>
        <c:axId val="1358512384"/>
      </c:barChart>
      <c:catAx>
        <c:axId val="135851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12384"/>
        <c:crosses val="autoZero"/>
        <c:auto val="1"/>
        <c:lblAlgn val="ctr"/>
        <c:lblOffset val="100"/>
        <c:noMultiLvlLbl val="0"/>
      </c:catAx>
      <c:valAx>
        <c:axId val="135851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11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Tables'!$D$22:$D$23</c:f>
              <c:strCache>
                <c:ptCount val="1"/>
                <c:pt idx="0">
                  <c:v>No</c:v>
                </c:pt>
              </c:strCache>
            </c:strRef>
          </c:tx>
          <c:spPr>
            <a:ln w="28575" cap="rnd">
              <a:solidFill>
                <a:schemeClr val="accent1"/>
              </a:solidFill>
              <a:round/>
            </a:ln>
            <a:effectLst/>
          </c:spPr>
          <c:marker>
            <c:symbol val="none"/>
          </c:marker>
          <c:cat>
            <c:strRef>
              <c:f>'Pivot Tables'!$C$24:$C$29</c:f>
              <c:strCache>
                <c:ptCount val="5"/>
                <c:pt idx="0">
                  <c:v>0-1 Miles</c:v>
                </c:pt>
                <c:pt idx="1">
                  <c:v>1-2 Miles</c:v>
                </c:pt>
                <c:pt idx="2">
                  <c:v>2-5 Miles</c:v>
                </c:pt>
                <c:pt idx="3">
                  <c:v>5-10 Miles</c:v>
                </c:pt>
                <c:pt idx="4">
                  <c:v>More than 10 Miles</c:v>
                </c:pt>
              </c:strCache>
            </c:strRef>
          </c:cat>
          <c:val>
            <c:numRef>
              <c:f>'Pivot Tables'!$D$24:$D$29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66-46AA-8374-0097717F7652}"/>
            </c:ext>
          </c:extLst>
        </c:ser>
        <c:ser>
          <c:idx val="1"/>
          <c:order val="1"/>
          <c:tx>
            <c:strRef>
              <c:f>'Pivot Tables'!$E$22:$E$23</c:f>
              <c:strCache>
                <c:ptCount val="1"/>
                <c:pt idx="0">
                  <c:v>Yes</c:v>
                </c:pt>
              </c:strCache>
            </c:strRef>
          </c:tx>
          <c:spPr>
            <a:ln w="28575" cap="rnd">
              <a:solidFill>
                <a:schemeClr val="accent2"/>
              </a:solidFill>
              <a:round/>
            </a:ln>
            <a:effectLst/>
          </c:spPr>
          <c:marker>
            <c:symbol val="none"/>
          </c:marker>
          <c:cat>
            <c:strRef>
              <c:f>'Pivot Tables'!$C$24:$C$29</c:f>
              <c:strCache>
                <c:ptCount val="5"/>
                <c:pt idx="0">
                  <c:v>0-1 Miles</c:v>
                </c:pt>
                <c:pt idx="1">
                  <c:v>1-2 Miles</c:v>
                </c:pt>
                <c:pt idx="2">
                  <c:v>2-5 Miles</c:v>
                </c:pt>
                <c:pt idx="3">
                  <c:v>5-10 Miles</c:v>
                </c:pt>
                <c:pt idx="4">
                  <c:v>More than 10 Miles</c:v>
                </c:pt>
              </c:strCache>
            </c:strRef>
          </c:cat>
          <c:val>
            <c:numRef>
              <c:f>'Pivot Tables'!$E$24:$E$29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66-46AA-8374-0097717F7652}"/>
            </c:ext>
          </c:extLst>
        </c:ser>
        <c:dLbls>
          <c:showLegendKey val="0"/>
          <c:showVal val="0"/>
          <c:showCatName val="0"/>
          <c:showSerName val="0"/>
          <c:showPercent val="0"/>
          <c:showBubbleSize val="0"/>
        </c:dLbls>
        <c:smooth val="0"/>
        <c:axId val="1358541664"/>
        <c:axId val="1358544544"/>
      </c:lineChart>
      <c:catAx>
        <c:axId val="135854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44544"/>
        <c:crosses val="autoZero"/>
        <c:auto val="1"/>
        <c:lblAlgn val="ctr"/>
        <c:lblOffset val="100"/>
        <c:noMultiLvlLbl val="0"/>
      </c:catAx>
      <c:valAx>
        <c:axId val="135854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4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Tables'!$D$47:$D$48</c:f>
              <c:strCache>
                <c:ptCount val="1"/>
                <c:pt idx="0">
                  <c:v>No</c:v>
                </c:pt>
              </c:strCache>
            </c:strRef>
          </c:tx>
          <c:spPr>
            <a:ln w="28575" cap="rnd">
              <a:solidFill>
                <a:schemeClr val="accent1"/>
              </a:solidFill>
              <a:round/>
            </a:ln>
            <a:effectLst/>
          </c:spPr>
          <c:marker>
            <c:symbol val="none"/>
          </c:marker>
          <c:cat>
            <c:strRef>
              <c:f>'Pivot Tables'!$C$49:$C$52</c:f>
              <c:strCache>
                <c:ptCount val="3"/>
                <c:pt idx="0">
                  <c:v>Adolescent</c:v>
                </c:pt>
                <c:pt idx="1">
                  <c:v>Middle Age</c:v>
                </c:pt>
                <c:pt idx="2">
                  <c:v>Old</c:v>
                </c:pt>
              </c:strCache>
            </c:strRef>
          </c:cat>
          <c:val>
            <c:numRef>
              <c:f>'Pivot Tables'!$D$49:$D$52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2B7-4CD7-9A6E-883CDE0EE44B}"/>
            </c:ext>
          </c:extLst>
        </c:ser>
        <c:ser>
          <c:idx val="1"/>
          <c:order val="1"/>
          <c:tx>
            <c:strRef>
              <c:f>'Pivot Tables'!$E$47:$E$48</c:f>
              <c:strCache>
                <c:ptCount val="1"/>
                <c:pt idx="0">
                  <c:v>Yes</c:v>
                </c:pt>
              </c:strCache>
            </c:strRef>
          </c:tx>
          <c:spPr>
            <a:ln w="28575" cap="rnd">
              <a:solidFill>
                <a:schemeClr val="accent2"/>
              </a:solidFill>
              <a:round/>
            </a:ln>
            <a:effectLst/>
          </c:spPr>
          <c:marker>
            <c:symbol val="none"/>
          </c:marker>
          <c:cat>
            <c:strRef>
              <c:f>'Pivot Tables'!$C$49:$C$52</c:f>
              <c:strCache>
                <c:ptCount val="3"/>
                <c:pt idx="0">
                  <c:v>Adolescent</c:v>
                </c:pt>
                <c:pt idx="1">
                  <c:v>Middle Age</c:v>
                </c:pt>
                <c:pt idx="2">
                  <c:v>Old</c:v>
                </c:pt>
              </c:strCache>
            </c:strRef>
          </c:cat>
          <c:val>
            <c:numRef>
              <c:f>'Pivot Tables'!$E$49:$E$52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2B7-4CD7-9A6E-883CDE0EE44B}"/>
            </c:ext>
          </c:extLst>
        </c:ser>
        <c:dLbls>
          <c:showLegendKey val="0"/>
          <c:showVal val="0"/>
          <c:showCatName val="0"/>
          <c:showSerName val="0"/>
          <c:showPercent val="0"/>
          <c:showBubbleSize val="0"/>
        </c:dLbls>
        <c:smooth val="0"/>
        <c:axId val="1602014768"/>
        <c:axId val="1602012368"/>
      </c:lineChart>
      <c:catAx>
        <c:axId val="160201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2368"/>
        <c:crosses val="autoZero"/>
        <c:auto val="1"/>
        <c:lblAlgn val="ctr"/>
        <c:lblOffset val="100"/>
        <c:noMultiLvlLbl val="0"/>
      </c:catAx>
      <c:valAx>
        <c:axId val="160201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727402</xdr:colOff>
      <xdr:row>0</xdr:row>
      <xdr:rowOff>63868</xdr:rowOff>
    </xdr:from>
    <xdr:to>
      <xdr:col>13</xdr:col>
      <xdr:colOff>248785</xdr:colOff>
      <xdr:row>16</xdr:row>
      <xdr:rowOff>99515</xdr:rowOff>
    </xdr:to>
    <xdr:graphicFrame macro="">
      <xdr:nvGraphicFramePr>
        <xdr:cNvPr id="2" name="Chart 1">
          <a:extLst>
            <a:ext uri="{FF2B5EF4-FFF2-40B4-BE49-F238E27FC236}">
              <a16:creationId xmlns:a16="http://schemas.microsoft.com/office/drawing/2014/main" id="{D767E030-419F-CDBE-985B-2D2E1848E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681677</xdr:colOff>
      <xdr:row>20</xdr:row>
      <xdr:rowOff>57150</xdr:rowOff>
    </xdr:from>
    <xdr:to>
      <xdr:col>13</xdr:col>
      <xdr:colOff>199029</xdr:colOff>
      <xdr:row>37</xdr:row>
      <xdr:rowOff>149272</xdr:rowOff>
    </xdr:to>
    <xdr:graphicFrame macro="">
      <xdr:nvGraphicFramePr>
        <xdr:cNvPr id="3" name="Chart 2">
          <a:extLst>
            <a:ext uri="{FF2B5EF4-FFF2-40B4-BE49-F238E27FC236}">
              <a16:creationId xmlns:a16="http://schemas.microsoft.com/office/drawing/2014/main" id="{DB1966CA-5716-CFBB-70F0-699D51135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725888</xdr:colOff>
      <xdr:row>44</xdr:row>
      <xdr:rowOff>164437</xdr:rowOff>
    </xdr:from>
    <xdr:to>
      <xdr:col>13</xdr:col>
      <xdr:colOff>1569</xdr:colOff>
      <xdr:row>59</xdr:row>
      <xdr:rowOff>160040</xdr:rowOff>
    </xdr:to>
    <xdr:graphicFrame macro="">
      <xdr:nvGraphicFramePr>
        <xdr:cNvPr id="4" name="Chart 3">
          <a:extLst>
            <a:ext uri="{FF2B5EF4-FFF2-40B4-BE49-F238E27FC236}">
              <a16:creationId xmlns:a16="http://schemas.microsoft.com/office/drawing/2014/main" id="{24880E97-331C-4911-9AB7-9A98A108A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297656</xdr:colOff>
      <xdr:row>7</xdr:row>
      <xdr:rowOff>12955</xdr:rowOff>
    </xdr:from>
    <xdr:to>
      <xdr:col>8</xdr:col>
      <xdr:colOff>443332</xdr:colOff>
      <xdr:row>20</xdr:row>
      <xdr:rowOff>5702</xdr:rowOff>
    </xdr:to>
    <xdr:graphicFrame macro="">
      <xdr:nvGraphicFramePr>
        <xdr:cNvPr id="2" name="Chart 1">
          <a:extLst>
            <a:ext uri="{FF2B5EF4-FFF2-40B4-BE49-F238E27FC236}">
              <a16:creationId xmlns:a16="http://schemas.microsoft.com/office/drawing/2014/main" id="{6F8724BE-2F45-4571-95EC-91AA44EAC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304271</xdr:colOff>
      <xdr:row>20</xdr:row>
      <xdr:rowOff>21420</xdr:rowOff>
    </xdr:from>
    <xdr:to>
      <xdr:col>14</xdr:col>
      <xdr:colOff>645501</xdr:colOff>
      <xdr:row>37</xdr:row>
      <xdr:rowOff>58810</xdr:rowOff>
    </xdr:to>
    <xdr:graphicFrame macro="">
      <xdr:nvGraphicFramePr>
        <xdr:cNvPr id="3" name="Chart 2">
          <a:extLst>
            <a:ext uri="{FF2B5EF4-FFF2-40B4-BE49-F238E27FC236}">
              <a16:creationId xmlns:a16="http://schemas.microsoft.com/office/drawing/2014/main" id="{E6345850-7D7E-424F-AF96-72192A307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449792</xdr:colOff>
      <xdr:row>7</xdr:row>
      <xdr:rowOff>12955</xdr:rowOff>
    </xdr:from>
    <xdr:to>
      <xdr:col>14</xdr:col>
      <xdr:colOff>646943</xdr:colOff>
      <xdr:row>20</xdr:row>
      <xdr:rowOff>6888</xdr:rowOff>
    </xdr:to>
    <xdr:graphicFrame macro="">
      <xdr:nvGraphicFramePr>
        <xdr:cNvPr id="4" name="Chart 3">
          <a:extLst>
            <a:ext uri="{FF2B5EF4-FFF2-40B4-BE49-F238E27FC236}">
              <a16:creationId xmlns:a16="http://schemas.microsoft.com/office/drawing/2014/main" id="{E67EE9E3-2524-4685-88F3-FC437FA4B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26458</xdr:colOff>
      <xdr:row>7</xdr:row>
      <xdr:rowOff>21742</xdr:rowOff>
    </xdr:from>
    <xdr:to>
      <xdr:col>2</xdr:col>
      <xdr:colOff>277813</xdr:colOff>
      <xdr:row>12</xdr:row>
      <xdr:rowOff>72760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7476A73-226A-07D2-791F-FD34BB3F76F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6458" y="1271899"/>
              <a:ext cx="1547813" cy="943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6615</xdr:colOff>
      <xdr:row>12</xdr:row>
      <xdr:rowOff>136791</xdr:rowOff>
    </xdr:from>
    <xdr:to>
      <xdr:col>2</xdr:col>
      <xdr:colOff>284428</xdr:colOff>
      <xdr:row>19</xdr:row>
      <xdr:rowOff>33072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0D9BDE4-DCE1-D854-17AE-B5BF37ECE0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15" y="2279916"/>
              <a:ext cx="1574271" cy="1146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161927</xdr:rowOff>
    </xdr:from>
    <xdr:to>
      <xdr:col>2</xdr:col>
      <xdr:colOff>291042</xdr:colOff>
      <xdr:row>31</xdr:row>
      <xdr:rowOff>112447</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19681DEE-63D8-7A2C-537A-1A0D8D3894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12396"/>
              <a:ext cx="1587500" cy="1736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Regmi" refreshedDate="46029.598123611111" createdVersion="8" refreshedVersion="8" minRefreshableVersion="3" recordCount="1000" xr:uid="{5F093587-4EEF-4591-BBED-3FC2C64DA2D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97569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29CCF3-0A89-41F7-B835-BADCCAC86F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2:F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DEB69-9FFE-4344-A1E6-804219D557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5:F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1">
      <pivotArea outline="0" collapsedLevelsAreSubtotals="1" fieldPosition="0"/>
    </format>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B457C9-96DB-40EC-A54D-186E2C6FF2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7:F52"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A854B4B-1D6C-4BA7-84B3-A2440D9D775D}" sourceName="Marital Status">
  <pivotTables>
    <pivotTable tabId="3" name="PivotTable2"/>
    <pivotTable tabId="3" name="PivotTable3"/>
    <pivotTable tabId="3" name="PivotTable4"/>
  </pivotTables>
  <data>
    <tabular pivotCacheId="8975698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443A6D-8886-4411-A595-76D711D222DB}" sourceName="Region">
  <pivotTables>
    <pivotTable tabId="3" name="PivotTable2"/>
    <pivotTable tabId="3" name="PivotTable3"/>
    <pivotTable tabId="3" name="PivotTable4"/>
  </pivotTables>
  <data>
    <tabular pivotCacheId="8975698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9FFA46-03BC-469A-9689-0DCCB412A1A8}" sourceName="Education">
  <pivotTables>
    <pivotTable tabId="3" name="PivotTable3"/>
  </pivotTables>
  <data>
    <tabular pivotCacheId="89756983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5E9960A-DDFB-463E-A15C-A808FA1D8159}" cache="Slicer_Marital_Status" caption="Marital Status" rowHeight="241300"/>
  <slicer name="Region" xr10:uid="{A0EB4B48-98C3-474B-84AC-50F3B4F6FE51}" cache="Slicer_Region" caption="Region" rowHeight="241300"/>
  <slicer name="Education" xr10:uid="{DAFD5252-A225-4D92-B085-E351DCCC8D7C}"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64" workbookViewId="0">
      <pane ySplit="1" topLeftCell="A2" activePane="bottomLeft" state="frozen"/>
      <selection pane="bottomLeft" activeCell="K13" sqref="K13"/>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75D31-7604-460C-BE10-F8CC6491A97E}">
  <dimension ref="A1:N1026"/>
  <sheetViews>
    <sheetView tabSelected="1" topLeftCell="F1" zoomScaleNormal="100" workbookViewId="0">
      <pane ySplit="1" topLeftCell="A2" activePane="bottomLeft" state="frozen"/>
      <selection activeCell="F1" sqref="F1"/>
      <selection pane="bottomLeft" activeCell="F2" sqref="F2"/>
    </sheetView>
  </sheetViews>
  <sheetFormatPr defaultColWidth="11.86328125" defaultRowHeight="14.25" x14ac:dyDescent="0.45"/>
  <cols>
    <col min="4" max="4" width="11.86328125" style="3"/>
    <col min="14" max="14" width="15.46484375" customWidth="1"/>
  </cols>
  <sheetData>
    <row r="1" spans="1:14" x14ac:dyDescent="0.45">
      <c r="A1" t="s">
        <v>0</v>
      </c>
      <c r="B1" t="s">
        <v>1</v>
      </c>
      <c r="C1" t="s">
        <v>2</v>
      </c>
      <c r="D1" s="3" t="s">
        <v>3</v>
      </c>
      <c r="E1" t="s">
        <v>4</v>
      </c>
      <c r="F1" t="s">
        <v>5</v>
      </c>
      <c r="G1" t="s">
        <v>6</v>
      </c>
      <c r="H1" t="s">
        <v>7</v>
      </c>
      <c r="I1" t="s">
        <v>8</v>
      </c>
      <c r="J1" t="s">
        <v>9</v>
      </c>
      <c r="K1" t="s">
        <v>10</v>
      </c>
      <c r="L1" t="s">
        <v>11</v>
      </c>
      <c r="M1" t="s">
        <v>40</v>
      </c>
      <c r="N1" t="s">
        <v>12</v>
      </c>
    </row>
    <row r="2" spans="1:14" x14ac:dyDescent="0.45">
      <c r="A2">
        <v>12496</v>
      </c>
      <c r="B2" t="s">
        <v>36</v>
      </c>
      <c r="C2" t="s">
        <v>39</v>
      </c>
      <c r="D2" s="3">
        <v>40000</v>
      </c>
      <c r="E2">
        <v>1</v>
      </c>
      <c r="F2" t="s">
        <v>13</v>
      </c>
      <c r="G2" t="s">
        <v>14</v>
      </c>
      <c r="H2" t="s">
        <v>15</v>
      </c>
      <c r="I2">
        <v>0</v>
      </c>
      <c r="J2" t="s">
        <v>16</v>
      </c>
      <c r="K2" t="s">
        <v>17</v>
      </c>
      <c r="L2">
        <v>42</v>
      </c>
      <c r="M2" t="str">
        <f t="shared" ref="M2:M65" si="0">IF(L2&gt;54,"Old",IF(L2&gt;=31,"Middle Age",IF(L2&lt;31,"Adolescent","Invalid")))</f>
        <v>Middle Age</v>
      </c>
      <c r="N2" t="s">
        <v>18</v>
      </c>
    </row>
    <row r="3" spans="1:14" x14ac:dyDescent="0.45">
      <c r="A3">
        <v>24107</v>
      </c>
      <c r="B3" t="s">
        <v>36</v>
      </c>
      <c r="C3" t="s">
        <v>38</v>
      </c>
      <c r="D3" s="3">
        <v>30000</v>
      </c>
      <c r="E3">
        <v>3</v>
      </c>
      <c r="F3" t="s">
        <v>19</v>
      </c>
      <c r="G3" t="s">
        <v>20</v>
      </c>
      <c r="H3" t="s">
        <v>15</v>
      </c>
      <c r="I3">
        <v>1</v>
      </c>
      <c r="J3" t="s">
        <v>16</v>
      </c>
      <c r="K3" t="s">
        <v>17</v>
      </c>
      <c r="L3">
        <v>43</v>
      </c>
      <c r="M3" t="str">
        <f t="shared" si="0"/>
        <v>Middle Age</v>
      </c>
      <c r="N3" t="s">
        <v>18</v>
      </c>
    </row>
    <row r="4" spans="1:14" x14ac:dyDescent="0.45">
      <c r="A4">
        <v>14177</v>
      </c>
      <c r="B4" t="s">
        <v>36</v>
      </c>
      <c r="C4" t="s">
        <v>38</v>
      </c>
      <c r="D4" s="3">
        <v>80000</v>
      </c>
      <c r="E4">
        <v>5</v>
      </c>
      <c r="F4" t="s">
        <v>19</v>
      </c>
      <c r="G4" t="s">
        <v>21</v>
      </c>
      <c r="H4" t="s">
        <v>18</v>
      </c>
      <c r="I4">
        <v>2</v>
      </c>
      <c r="J4" t="s">
        <v>22</v>
      </c>
      <c r="K4" t="s">
        <v>17</v>
      </c>
      <c r="L4">
        <v>60</v>
      </c>
      <c r="M4" t="str">
        <f t="shared" si="0"/>
        <v>Old</v>
      </c>
      <c r="N4" t="s">
        <v>18</v>
      </c>
    </row>
    <row r="5" spans="1:14" x14ac:dyDescent="0.45">
      <c r="A5">
        <v>24381</v>
      </c>
      <c r="B5" t="s">
        <v>37</v>
      </c>
      <c r="C5" t="s">
        <v>38</v>
      </c>
      <c r="D5" s="3">
        <v>70000</v>
      </c>
      <c r="E5">
        <v>0</v>
      </c>
      <c r="F5" t="s">
        <v>13</v>
      </c>
      <c r="G5" t="s">
        <v>21</v>
      </c>
      <c r="H5" t="s">
        <v>15</v>
      </c>
      <c r="I5">
        <v>1</v>
      </c>
      <c r="J5" t="s">
        <v>23</v>
      </c>
      <c r="K5" t="s">
        <v>24</v>
      </c>
      <c r="L5">
        <v>41</v>
      </c>
      <c r="M5" t="str">
        <f t="shared" si="0"/>
        <v>Middle Age</v>
      </c>
      <c r="N5" t="s">
        <v>15</v>
      </c>
    </row>
    <row r="6" spans="1:14" x14ac:dyDescent="0.45">
      <c r="A6">
        <v>25597</v>
      </c>
      <c r="B6" t="s">
        <v>37</v>
      </c>
      <c r="C6" t="s">
        <v>38</v>
      </c>
      <c r="D6" s="3">
        <v>30000</v>
      </c>
      <c r="E6">
        <v>0</v>
      </c>
      <c r="F6" t="s">
        <v>13</v>
      </c>
      <c r="G6" t="s">
        <v>20</v>
      </c>
      <c r="H6" t="s">
        <v>18</v>
      </c>
      <c r="I6">
        <v>0</v>
      </c>
      <c r="J6" t="s">
        <v>16</v>
      </c>
      <c r="K6" t="s">
        <v>17</v>
      </c>
      <c r="L6">
        <v>36</v>
      </c>
      <c r="M6" t="str">
        <f t="shared" si="0"/>
        <v>Middle Age</v>
      </c>
      <c r="N6" t="s">
        <v>15</v>
      </c>
    </row>
    <row r="7" spans="1:14" x14ac:dyDescent="0.45">
      <c r="A7">
        <v>13507</v>
      </c>
      <c r="B7" t="s">
        <v>36</v>
      </c>
      <c r="C7" t="s">
        <v>39</v>
      </c>
      <c r="D7" s="3">
        <v>10000</v>
      </c>
      <c r="E7">
        <v>2</v>
      </c>
      <c r="F7" t="s">
        <v>19</v>
      </c>
      <c r="G7" t="s">
        <v>25</v>
      </c>
      <c r="H7" t="s">
        <v>15</v>
      </c>
      <c r="I7">
        <v>0</v>
      </c>
      <c r="J7" t="s">
        <v>26</v>
      </c>
      <c r="K7" t="s">
        <v>17</v>
      </c>
      <c r="L7">
        <v>50</v>
      </c>
      <c r="M7" t="str">
        <f t="shared" si="0"/>
        <v>Middle Age</v>
      </c>
      <c r="N7" t="s">
        <v>18</v>
      </c>
    </row>
    <row r="8" spans="1:14" x14ac:dyDescent="0.45">
      <c r="A8">
        <v>27974</v>
      </c>
      <c r="B8" t="s">
        <v>37</v>
      </c>
      <c r="C8" t="s">
        <v>38</v>
      </c>
      <c r="D8" s="3">
        <v>160000</v>
      </c>
      <c r="E8">
        <v>2</v>
      </c>
      <c r="F8" t="s">
        <v>27</v>
      </c>
      <c r="G8" t="s">
        <v>28</v>
      </c>
      <c r="H8" t="s">
        <v>15</v>
      </c>
      <c r="I8">
        <v>4</v>
      </c>
      <c r="J8" t="s">
        <v>16</v>
      </c>
      <c r="K8" t="s">
        <v>24</v>
      </c>
      <c r="L8">
        <v>33</v>
      </c>
      <c r="M8" t="str">
        <f t="shared" si="0"/>
        <v>Middle Age</v>
      </c>
      <c r="N8" t="s">
        <v>15</v>
      </c>
    </row>
    <row r="9" spans="1:14" x14ac:dyDescent="0.45">
      <c r="A9">
        <v>19364</v>
      </c>
      <c r="B9" t="s">
        <v>36</v>
      </c>
      <c r="C9" t="s">
        <v>38</v>
      </c>
      <c r="D9" s="3">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4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4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4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4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4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4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4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45">
      <c r="A66">
        <v>14927</v>
      </c>
      <c r="B66" t="s">
        <v>36</v>
      </c>
      <c r="C66" t="s">
        <v>39</v>
      </c>
      <c r="D66" s="3">
        <v>30000</v>
      </c>
      <c r="E66">
        <v>1</v>
      </c>
      <c r="F66" t="s">
        <v>13</v>
      </c>
      <c r="G66" t="s">
        <v>20</v>
      </c>
      <c r="H66" t="s">
        <v>15</v>
      </c>
      <c r="I66">
        <v>0</v>
      </c>
      <c r="J66" t="s">
        <v>16</v>
      </c>
      <c r="K66" t="s">
        <v>17</v>
      </c>
      <c r="L66">
        <v>37</v>
      </c>
      <c r="M66" t="str">
        <f t="shared" ref="M66:M129" si="1">IF(L66&gt;54,"Old",IF(L66&gt;=31,"Middle Age",IF(L66&lt;31,"Adolescent","Invalid")))</f>
        <v>Middle Age</v>
      </c>
      <c r="N66" t="s">
        <v>15</v>
      </c>
    </row>
    <row r="67" spans="1:14" x14ac:dyDescent="0.45">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4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4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4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4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4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4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3">
        <v>10000</v>
      </c>
      <c r="E130">
        <v>2</v>
      </c>
      <c r="F130" t="s">
        <v>19</v>
      </c>
      <c r="G130" t="s">
        <v>25</v>
      </c>
      <c r="H130" t="s">
        <v>15</v>
      </c>
      <c r="I130">
        <v>1</v>
      </c>
      <c r="J130" t="s">
        <v>16</v>
      </c>
      <c r="K130" t="s">
        <v>17</v>
      </c>
      <c r="L130">
        <v>52</v>
      </c>
      <c r="M130" t="str">
        <f t="shared" ref="M130:M193" si="2">IF(L130&gt;54,"Old",IF(L130&gt;=31,"Middle Age",IF(L130&lt;31,"Adolescent","Invalid")))</f>
        <v>Middle Age</v>
      </c>
      <c r="N130" t="s">
        <v>15</v>
      </c>
    </row>
    <row r="131" spans="1:14" x14ac:dyDescent="0.45">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4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4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4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4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4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4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4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3">
        <v>80000</v>
      </c>
      <c r="E194">
        <v>5</v>
      </c>
      <c r="F194" t="s">
        <v>13</v>
      </c>
      <c r="G194" t="s">
        <v>28</v>
      </c>
      <c r="H194" t="s">
        <v>15</v>
      </c>
      <c r="I194">
        <v>2</v>
      </c>
      <c r="J194" t="s">
        <v>49</v>
      </c>
      <c r="K194" t="s">
        <v>17</v>
      </c>
      <c r="L194">
        <v>62</v>
      </c>
      <c r="M194" t="str">
        <f t="shared" ref="M194:M257" si="3">IF(L194&gt;54,"Old",IF(L194&gt;=31,"Middle Age",IF(L194&lt;31,"Adolescent","Invalid")))</f>
        <v>Old</v>
      </c>
      <c r="N194" t="s">
        <v>18</v>
      </c>
    </row>
    <row r="195" spans="1:14" x14ac:dyDescent="0.45">
      <c r="A195">
        <v>26032</v>
      </c>
      <c r="B195" t="s">
        <v>36</v>
      </c>
      <c r="C195" t="s">
        <v>39</v>
      </c>
      <c r="D195" s="3">
        <v>70000</v>
      </c>
      <c r="E195">
        <v>5</v>
      </c>
      <c r="F195" t="s">
        <v>13</v>
      </c>
      <c r="G195" t="s">
        <v>21</v>
      </c>
      <c r="H195" t="s">
        <v>15</v>
      </c>
      <c r="I195">
        <v>4</v>
      </c>
      <c r="J195" t="s">
        <v>49</v>
      </c>
      <c r="K195" t="s">
        <v>24</v>
      </c>
      <c r="L195">
        <v>41</v>
      </c>
      <c r="M195" t="str">
        <f t="shared" si="3"/>
        <v>Middle Age</v>
      </c>
      <c r="N195" t="s">
        <v>18</v>
      </c>
    </row>
    <row r="196" spans="1:14" x14ac:dyDescent="0.4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4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4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4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4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4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4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4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4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4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4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3">
        <v>20000</v>
      </c>
      <c r="E258">
        <v>1</v>
      </c>
      <c r="F258" t="s">
        <v>31</v>
      </c>
      <c r="G258" t="s">
        <v>20</v>
      </c>
      <c r="H258" t="s">
        <v>15</v>
      </c>
      <c r="I258">
        <v>0</v>
      </c>
      <c r="J258" t="s">
        <v>16</v>
      </c>
      <c r="K258" t="s">
        <v>17</v>
      </c>
      <c r="L258">
        <v>43</v>
      </c>
      <c r="M258" t="str">
        <f t="shared" ref="M258:M321" si="4">IF(L258&gt;54,"Old",IF(L258&gt;=31,"Middle Age",IF(L258&lt;31,"Adolescent","Invalid")))</f>
        <v>Middle Age</v>
      </c>
      <c r="N258" t="s">
        <v>18</v>
      </c>
    </row>
    <row r="259" spans="1:14" x14ac:dyDescent="0.45">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45">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4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4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4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4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4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3">
        <v>100000</v>
      </c>
      <c r="E322">
        <v>0</v>
      </c>
      <c r="F322" t="s">
        <v>31</v>
      </c>
      <c r="G322" t="s">
        <v>28</v>
      </c>
      <c r="H322" t="s">
        <v>15</v>
      </c>
      <c r="I322">
        <v>0</v>
      </c>
      <c r="J322" t="s">
        <v>22</v>
      </c>
      <c r="K322" t="s">
        <v>24</v>
      </c>
      <c r="L322">
        <v>40</v>
      </c>
      <c r="M322" t="str">
        <f t="shared" ref="M322:M385" si="5">IF(L322&gt;54,"Old",IF(L322&gt;=31,"Middle Age",IF(L322&lt;31,"Adolescent","Invalid")))</f>
        <v>Middle Age</v>
      </c>
      <c r="N322" t="s">
        <v>15</v>
      </c>
    </row>
    <row r="323" spans="1:14" x14ac:dyDescent="0.45">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4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4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4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4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4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4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4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4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3">
        <v>10000</v>
      </c>
      <c r="E386">
        <v>0</v>
      </c>
      <c r="F386" t="s">
        <v>19</v>
      </c>
      <c r="G386" t="s">
        <v>25</v>
      </c>
      <c r="H386" t="s">
        <v>18</v>
      </c>
      <c r="I386">
        <v>1</v>
      </c>
      <c r="J386" t="s">
        <v>16</v>
      </c>
      <c r="K386" t="s">
        <v>24</v>
      </c>
      <c r="L386">
        <v>28</v>
      </c>
      <c r="M386" t="str">
        <f t="shared" ref="M386:M449" si="6">IF(L386&gt;54,"Old",IF(L386&gt;=31,"Middle Age",IF(L386&lt;31,"Adolescent","Invalid")))</f>
        <v>Adolescent</v>
      </c>
      <c r="N386" t="s">
        <v>15</v>
      </c>
    </row>
    <row r="387" spans="1:14" x14ac:dyDescent="0.45">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4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4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4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4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4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4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4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4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3">
        <v>30000</v>
      </c>
      <c r="E450">
        <v>3</v>
      </c>
      <c r="F450" t="s">
        <v>31</v>
      </c>
      <c r="G450" t="s">
        <v>20</v>
      </c>
      <c r="H450" t="s">
        <v>15</v>
      </c>
      <c r="I450">
        <v>0</v>
      </c>
      <c r="J450" t="s">
        <v>16</v>
      </c>
      <c r="K450" t="s">
        <v>17</v>
      </c>
      <c r="L450">
        <v>46</v>
      </c>
      <c r="M450" t="str">
        <f t="shared" ref="M450:M513" si="7">IF(L450&gt;54,"Old",IF(L450&gt;=31,"Middle Age",IF(L450&lt;31,"Adolescent","Invalid")))</f>
        <v>Middle Age</v>
      </c>
      <c r="N450" t="s">
        <v>18</v>
      </c>
    </row>
    <row r="451" spans="1:14" x14ac:dyDescent="0.45">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4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4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4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4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4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4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3">
        <v>60000</v>
      </c>
      <c r="E514">
        <v>1</v>
      </c>
      <c r="F514" t="s">
        <v>19</v>
      </c>
      <c r="G514" t="s">
        <v>14</v>
      </c>
      <c r="H514" t="s">
        <v>15</v>
      </c>
      <c r="I514">
        <v>1</v>
      </c>
      <c r="J514" t="s">
        <v>16</v>
      </c>
      <c r="K514" t="s">
        <v>32</v>
      </c>
      <c r="L514">
        <v>45</v>
      </c>
      <c r="M514" t="str">
        <f t="shared" ref="M514:M577" si="8">IF(L514&gt;54,"Old",IF(L514&gt;=31,"Middle Age",IF(L514&lt;31,"Adolescent","Invalid")))</f>
        <v>Middle Age</v>
      </c>
      <c r="N514" t="s">
        <v>15</v>
      </c>
    </row>
    <row r="515" spans="1:14" x14ac:dyDescent="0.45">
      <c r="A515">
        <v>13353</v>
      </c>
      <c r="B515" t="s">
        <v>37</v>
      </c>
      <c r="C515" t="s">
        <v>39</v>
      </c>
      <c r="D515" s="3">
        <v>60000</v>
      </c>
      <c r="E515">
        <v>4</v>
      </c>
      <c r="F515" t="s">
        <v>31</v>
      </c>
      <c r="G515" t="s">
        <v>28</v>
      </c>
      <c r="H515" t="s">
        <v>15</v>
      </c>
      <c r="I515">
        <v>2</v>
      </c>
      <c r="J515" t="s">
        <v>49</v>
      </c>
      <c r="K515" t="s">
        <v>32</v>
      </c>
      <c r="L515">
        <v>61</v>
      </c>
      <c r="M515" t="str">
        <f t="shared" si="8"/>
        <v>Old</v>
      </c>
      <c r="N515" t="s">
        <v>15</v>
      </c>
    </row>
    <row r="516" spans="1:14" x14ac:dyDescent="0.4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4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4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4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4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4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4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45">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4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4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4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45">
      <c r="A578">
        <v>18752</v>
      </c>
      <c r="B578" t="s">
        <v>37</v>
      </c>
      <c r="C578" t="s">
        <v>39</v>
      </c>
      <c r="D578" s="3">
        <v>40000</v>
      </c>
      <c r="E578">
        <v>0</v>
      </c>
      <c r="F578" t="s">
        <v>27</v>
      </c>
      <c r="G578" t="s">
        <v>14</v>
      </c>
      <c r="H578" t="s">
        <v>15</v>
      </c>
      <c r="I578">
        <v>1</v>
      </c>
      <c r="J578" t="s">
        <v>23</v>
      </c>
      <c r="K578" t="s">
        <v>32</v>
      </c>
      <c r="L578">
        <v>31</v>
      </c>
      <c r="M578" t="str">
        <f t="shared" ref="M578:M641" si="9">IF(L578&gt;54,"Old",IF(L578&gt;=31,"Middle Age",IF(L578&lt;31,"Adolescent","Invalid")))</f>
        <v>Middle Age</v>
      </c>
      <c r="N578" t="s">
        <v>18</v>
      </c>
    </row>
    <row r="579" spans="1:14" x14ac:dyDescent="0.45">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4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4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4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45">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4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4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4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3">
        <v>60000</v>
      </c>
      <c r="E642">
        <v>2</v>
      </c>
      <c r="F642" t="s">
        <v>19</v>
      </c>
      <c r="G642" t="s">
        <v>21</v>
      </c>
      <c r="H642" t="s">
        <v>15</v>
      </c>
      <c r="I642">
        <v>2</v>
      </c>
      <c r="J642" t="s">
        <v>22</v>
      </c>
      <c r="K642" t="s">
        <v>32</v>
      </c>
      <c r="L642">
        <v>56</v>
      </c>
      <c r="M642" t="str">
        <f t="shared" ref="M642:M705" si="10">IF(L642&gt;54,"Old",IF(L642&gt;=31,"Middle Age",IF(L642&lt;31,"Adolescent","Invalid")))</f>
        <v>Old</v>
      </c>
      <c r="N642" t="s">
        <v>15</v>
      </c>
    </row>
    <row r="643" spans="1:14" x14ac:dyDescent="0.45">
      <c r="A643">
        <v>21441</v>
      </c>
      <c r="B643" t="s">
        <v>36</v>
      </c>
      <c r="C643" t="s">
        <v>38</v>
      </c>
      <c r="D643" s="3">
        <v>50000</v>
      </c>
      <c r="E643">
        <v>4</v>
      </c>
      <c r="F643" t="s">
        <v>13</v>
      </c>
      <c r="G643" t="s">
        <v>28</v>
      </c>
      <c r="H643" t="s">
        <v>15</v>
      </c>
      <c r="I643">
        <v>2</v>
      </c>
      <c r="J643" t="s">
        <v>49</v>
      </c>
      <c r="K643" t="s">
        <v>32</v>
      </c>
      <c r="L643">
        <v>64</v>
      </c>
      <c r="M643" t="str">
        <f t="shared" si="10"/>
        <v>Old</v>
      </c>
      <c r="N643" t="s">
        <v>18</v>
      </c>
    </row>
    <row r="644" spans="1:14" x14ac:dyDescent="0.4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4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4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4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4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4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4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3">
        <v>40000</v>
      </c>
      <c r="E706">
        <v>0</v>
      </c>
      <c r="F706" t="s">
        <v>13</v>
      </c>
      <c r="G706" t="s">
        <v>21</v>
      </c>
      <c r="H706" t="s">
        <v>15</v>
      </c>
      <c r="I706">
        <v>1</v>
      </c>
      <c r="J706" t="s">
        <v>22</v>
      </c>
      <c r="K706" t="s">
        <v>32</v>
      </c>
      <c r="L706">
        <v>42</v>
      </c>
      <c r="M706" t="str">
        <f t="shared" ref="M706:M769" si="11">IF(L706&gt;54,"Old",IF(L706&gt;=31,"Middle Age",IF(L706&lt;31,"Adolescent","Invalid")))</f>
        <v>Middle Age</v>
      </c>
      <c r="N706" t="s">
        <v>15</v>
      </c>
    </row>
    <row r="707" spans="1:14" x14ac:dyDescent="0.45">
      <c r="A707">
        <v>11199</v>
      </c>
      <c r="B707" t="s">
        <v>36</v>
      </c>
      <c r="C707" t="s">
        <v>39</v>
      </c>
      <c r="D707" s="3">
        <v>70000</v>
      </c>
      <c r="E707">
        <v>4</v>
      </c>
      <c r="F707" t="s">
        <v>13</v>
      </c>
      <c r="G707" t="s">
        <v>28</v>
      </c>
      <c r="H707" t="s">
        <v>15</v>
      </c>
      <c r="I707">
        <v>1</v>
      </c>
      <c r="J707" t="s">
        <v>49</v>
      </c>
      <c r="K707" t="s">
        <v>32</v>
      </c>
      <c r="L707">
        <v>59</v>
      </c>
      <c r="M707" t="str">
        <f t="shared" si="11"/>
        <v>Old</v>
      </c>
      <c r="N707" t="s">
        <v>18</v>
      </c>
    </row>
    <row r="708" spans="1:14" x14ac:dyDescent="0.4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45">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4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4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4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4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4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4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4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3">
        <v>120000</v>
      </c>
      <c r="E770">
        <v>1</v>
      </c>
      <c r="F770" t="s">
        <v>27</v>
      </c>
      <c r="G770" t="s">
        <v>21</v>
      </c>
      <c r="H770" t="s">
        <v>18</v>
      </c>
      <c r="I770">
        <v>4</v>
      </c>
      <c r="J770" t="s">
        <v>22</v>
      </c>
      <c r="K770" t="s">
        <v>32</v>
      </c>
      <c r="L770">
        <v>45</v>
      </c>
      <c r="M770" t="str">
        <f t="shared" ref="M770:M833" si="12">IF(L770&gt;54,"Old",IF(L770&gt;=31,"Middle Age",IF(L770&lt;31,"Adolescent","Invalid")))</f>
        <v>Middle Age</v>
      </c>
      <c r="N770" t="s">
        <v>18</v>
      </c>
    </row>
    <row r="771" spans="1:14" x14ac:dyDescent="0.45">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4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4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4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45">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4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3">
        <v>60000</v>
      </c>
      <c r="E834">
        <v>0</v>
      </c>
      <c r="F834" t="s">
        <v>31</v>
      </c>
      <c r="G834" t="s">
        <v>21</v>
      </c>
      <c r="H834" t="s">
        <v>15</v>
      </c>
      <c r="I834">
        <v>0</v>
      </c>
      <c r="J834" t="s">
        <v>16</v>
      </c>
      <c r="K834" t="s">
        <v>32</v>
      </c>
      <c r="L834">
        <v>39</v>
      </c>
      <c r="M834" t="str">
        <f t="shared" ref="M834:M897" si="13">IF(L834&gt;54,"Old",IF(L834&gt;=31,"Middle Age",IF(L834&lt;31,"Adolescent","Invalid")))</f>
        <v>Middle Age</v>
      </c>
      <c r="N834" t="s">
        <v>18</v>
      </c>
    </row>
    <row r="835" spans="1:14" x14ac:dyDescent="0.45">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4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4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4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4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4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4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3">
        <v>50000</v>
      </c>
      <c r="E898">
        <v>1</v>
      </c>
      <c r="F898" t="s">
        <v>13</v>
      </c>
      <c r="G898" t="s">
        <v>14</v>
      </c>
      <c r="H898" t="s">
        <v>15</v>
      </c>
      <c r="I898">
        <v>0</v>
      </c>
      <c r="J898" t="s">
        <v>16</v>
      </c>
      <c r="K898" t="s">
        <v>32</v>
      </c>
      <c r="L898">
        <v>34</v>
      </c>
      <c r="M898" t="str">
        <f t="shared" ref="M898:M961" si="14">IF(L898&gt;54,"Old",IF(L898&gt;=31,"Middle Age",IF(L898&lt;31,"Adolescent","Invalid")))</f>
        <v>Middle Age</v>
      </c>
      <c r="N898" t="s">
        <v>15</v>
      </c>
    </row>
    <row r="899" spans="1:14" x14ac:dyDescent="0.45">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45">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4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4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4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4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4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4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4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4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3">
        <v>100000</v>
      </c>
      <c r="E962">
        <v>0</v>
      </c>
      <c r="F962" t="s">
        <v>19</v>
      </c>
      <c r="G962" t="s">
        <v>21</v>
      </c>
      <c r="H962" t="s">
        <v>18</v>
      </c>
      <c r="I962">
        <v>4</v>
      </c>
      <c r="J962" t="s">
        <v>26</v>
      </c>
      <c r="K962" t="s">
        <v>32</v>
      </c>
      <c r="L962">
        <v>45</v>
      </c>
      <c r="M962" t="str">
        <f t="shared" ref="M962:M1025" si="15">IF(L962&gt;54,"Old",IF(L962&gt;=31,"Middle Age",IF(L962&lt;31,"Adolescent","Invalid")))</f>
        <v>Middle Age</v>
      </c>
      <c r="N962" t="s">
        <v>18</v>
      </c>
    </row>
    <row r="963" spans="1:14" x14ac:dyDescent="0.45">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45">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4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4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4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4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45">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4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4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4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row r="1002" spans="1:14" x14ac:dyDescent="0.45">
      <c r="D1002"/>
    </row>
    <row r="1003" spans="1:14" x14ac:dyDescent="0.45">
      <c r="D1003"/>
    </row>
    <row r="1004" spans="1:14" x14ac:dyDescent="0.45">
      <c r="D1004"/>
    </row>
    <row r="1005" spans="1:14" x14ac:dyDescent="0.45">
      <c r="D1005"/>
    </row>
    <row r="1006" spans="1:14" x14ac:dyDescent="0.45">
      <c r="D1006"/>
    </row>
    <row r="1007" spans="1:14" x14ac:dyDescent="0.45">
      <c r="D1007"/>
    </row>
    <row r="1008" spans="1:14" x14ac:dyDescent="0.45">
      <c r="D1008"/>
    </row>
    <row r="1009" spans="4:4" x14ac:dyDescent="0.45">
      <c r="D1009"/>
    </row>
    <row r="1010" spans="4:4" x14ac:dyDescent="0.45">
      <c r="D1010"/>
    </row>
    <row r="1011" spans="4:4" x14ac:dyDescent="0.45">
      <c r="D1011"/>
    </row>
    <row r="1012" spans="4:4" x14ac:dyDescent="0.45">
      <c r="D1012"/>
    </row>
    <row r="1013" spans="4:4" x14ac:dyDescent="0.45">
      <c r="D1013"/>
    </row>
    <row r="1014" spans="4:4" x14ac:dyDescent="0.45">
      <c r="D1014"/>
    </row>
    <row r="1015" spans="4:4" x14ac:dyDescent="0.45">
      <c r="D1015"/>
    </row>
    <row r="1016" spans="4:4" x14ac:dyDescent="0.45">
      <c r="D1016"/>
    </row>
    <row r="1017" spans="4:4" x14ac:dyDescent="0.45">
      <c r="D1017"/>
    </row>
    <row r="1018" spans="4:4" x14ac:dyDescent="0.45">
      <c r="D1018"/>
    </row>
    <row r="1019" spans="4:4" x14ac:dyDescent="0.45">
      <c r="D1019"/>
    </row>
    <row r="1020" spans="4:4" x14ac:dyDescent="0.45">
      <c r="D1020"/>
    </row>
    <row r="1021" spans="4:4" x14ac:dyDescent="0.45">
      <c r="D1021"/>
    </row>
    <row r="1022" spans="4:4" x14ac:dyDescent="0.45">
      <c r="D1022"/>
    </row>
    <row r="1023" spans="4:4" x14ac:dyDescent="0.45">
      <c r="D1023"/>
    </row>
    <row r="1024" spans="4:4" x14ac:dyDescent="0.45">
      <c r="D1024"/>
    </row>
    <row r="1025" spans="4:4" x14ac:dyDescent="0.45">
      <c r="D1025"/>
    </row>
    <row r="1026" spans="4:4" x14ac:dyDescent="0.45">
      <c r="D1026"/>
    </row>
  </sheetData>
  <autoFilter ref="A1:N1001" xr:uid="{2BE75D31-7604-460C-BE10-F8CC6491A97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6EBC-FC3E-49C5-9C5D-95C69B505B2D}">
  <dimension ref="C5:F52"/>
  <sheetViews>
    <sheetView topLeftCell="A38" zoomScale="75" workbookViewId="0">
      <selection activeCell="F60" sqref="F60"/>
    </sheetView>
  </sheetViews>
  <sheetFormatPr defaultRowHeight="14.25" x14ac:dyDescent="0.45"/>
  <cols>
    <col min="3" max="3" width="21.06640625" bestFit="1" customWidth="1"/>
    <col min="4" max="4" width="15.59765625" bestFit="1" customWidth="1"/>
    <col min="5" max="5" width="3.73046875" bestFit="1" customWidth="1"/>
    <col min="6" max="6" width="10.46484375" bestFit="1" customWidth="1"/>
    <col min="7" max="10" width="11.73046875" bestFit="1" customWidth="1"/>
  </cols>
  <sheetData>
    <row r="5" spans="3:6" x14ac:dyDescent="0.45">
      <c r="C5" s="4" t="s">
        <v>43</v>
      </c>
      <c r="D5" s="4" t="s">
        <v>47</v>
      </c>
    </row>
    <row r="6" spans="3:6" x14ac:dyDescent="0.45">
      <c r="C6" s="4" t="s">
        <v>41</v>
      </c>
      <c r="D6" t="s">
        <v>18</v>
      </c>
      <c r="E6" t="s">
        <v>15</v>
      </c>
      <c r="F6" t="s">
        <v>42</v>
      </c>
    </row>
    <row r="7" spans="3:6" x14ac:dyDescent="0.45">
      <c r="C7" s="5" t="s">
        <v>39</v>
      </c>
      <c r="D7" s="6">
        <v>53440</v>
      </c>
      <c r="E7" s="6">
        <v>55774.058577405856</v>
      </c>
      <c r="F7" s="6">
        <v>54580.777096114522</v>
      </c>
    </row>
    <row r="8" spans="3:6" x14ac:dyDescent="0.45">
      <c r="C8" s="5" t="s">
        <v>38</v>
      </c>
      <c r="D8" s="6">
        <v>56208.178438661707</v>
      </c>
      <c r="E8" s="6">
        <v>60123.966942148763</v>
      </c>
      <c r="F8" s="6">
        <v>58062.62230919765</v>
      </c>
    </row>
    <row r="9" spans="3:6" x14ac:dyDescent="0.45">
      <c r="C9" s="5" t="s">
        <v>42</v>
      </c>
      <c r="D9">
        <v>54874.759152215796</v>
      </c>
      <c r="E9">
        <v>57962.577962577961</v>
      </c>
      <c r="F9">
        <v>56360</v>
      </c>
    </row>
    <row r="22" spans="3:6" x14ac:dyDescent="0.45">
      <c r="C22" s="4" t="s">
        <v>48</v>
      </c>
      <c r="D22" s="4" t="s">
        <v>47</v>
      </c>
    </row>
    <row r="23" spans="3:6" x14ac:dyDescent="0.45">
      <c r="C23" s="4" t="s">
        <v>41</v>
      </c>
      <c r="D23" t="s">
        <v>18</v>
      </c>
      <c r="E23" t="s">
        <v>15</v>
      </c>
      <c r="F23" t="s">
        <v>42</v>
      </c>
    </row>
    <row r="24" spans="3:6" x14ac:dyDescent="0.45">
      <c r="C24" s="5" t="s">
        <v>16</v>
      </c>
      <c r="D24">
        <v>166</v>
      </c>
      <c r="E24">
        <v>200</v>
      </c>
      <c r="F24">
        <v>366</v>
      </c>
    </row>
    <row r="25" spans="3:6" x14ac:dyDescent="0.45">
      <c r="C25" s="5" t="s">
        <v>26</v>
      </c>
      <c r="D25">
        <v>92</v>
      </c>
      <c r="E25">
        <v>77</v>
      </c>
      <c r="F25">
        <v>169</v>
      </c>
    </row>
    <row r="26" spans="3:6" x14ac:dyDescent="0.45">
      <c r="C26" s="5" t="s">
        <v>22</v>
      </c>
      <c r="D26">
        <v>67</v>
      </c>
      <c r="E26">
        <v>95</v>
      </c>
      <c r="F26">
        <v>162</v>
      </c>
    </row>
    <row r="27" spans="3:6" x14ac:dyDescent="0.45">
      <c r="C27" s="5" t="s">
        <v>23</v>
      </c>
      <c r="D27">
        <v>116</v>
      </c>
      <c r="E27">
        <v>76</v>
      </c>
      <c r="F27">
        <v>192</v>
      </c>
    </row>
    <row r="28" spans="3:6" x14ac:dyDescent="0.45">
      <c r="C28" s="5" t="s">
        <v>49</v>
      </c>
      <c r="D28">
        <v>78</v>
      </c>
      <c r="E28">
        <v>33</v>
      </c>
      <c r="F28">
        <v>111</v>
      </c>
    </row>
    <row r="29" spans="3:6" x14ac:dyDescent="0.45">
      <c r="C29" s="5" t="s">
        <v>42</v>
      </c>
      <c r="D29">
        <v>519</v>
      </c>
      <c r="E29">
        <v>481</v>
      </c>
      <c r="F29">
        <v>1000</v>
      </c>
    </row>
    <row r="47" spans="3:6" x14ac:dyDescent="0.45">
      <c r="C47" s="4" t="s">
        <v>48</v>
      </c>
      <c r="D47" s="4" t="s">
        <v>47</v>
      </c>
    </row>
    <row r="48" spans="3:6" x14ac:dyDescent="0.45">
      <c r="C48" s="4" t="s">
        <v>41</v>
      </c>
      <c r="D48" t="s">
        <v>18</v>
      </c>
      <c r="E48" t="s">
        <v>15</v>
      </c>
      <c r="F48" t="s">
        <v>42</v>
      </c>
    </row>
    <row r="49" spans="3:6" x14ac:dyDescent="0.45">
      <c r="C49" s="5" t="s">
        <v>45</v>
      </c>
      <c r="D49">
        <v>71</v>
      </c>
      <c r="E49">
        <v>39</v>
      </c>
      <c r="F49">
        <v>110</v>
      </c>
    </row>
    <row r="50" spans="3:6" x14ac:dyDescent="0.45">
      <c r="C50" s="5" t="s">
        <v>44</v>
      </c>
      <c r="D50">
        <v>318</v>
      </c>
      <c r="E50">
        <v>383</v>
      </c>
      <c r="F50">
        <v>701</v>
      </c>
    </row>
    <row r="51" spans="3:6" x14ac:dyDescent="0.45">
      <c r="C51" s="5" t="s">
        <v>46</v>
      </c>
      <c r="D51">
        <v>130</v>
      </c>
      <c r="E51">
        <v>59</v>
      </c>
      <c r="F51">
        <v>189</v>
      </c>
    </row>
    <row r="52" spans="3:6" x14ac:dyDescent="0.45">
      <c r="C52" s="5" t="s">
        <v>42</v>
      </c>
      <c r="D52">
        <v>519</v>
      </c>
      <c r="E52">
        <v>481</v>
      </c>
      <c r="F5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B2B4-BE39-48A6-BEE3-DA5509FE38F7}">
  <dimension ref="A1:O7"/>
  <sheetViews>
    <sheetView showGridLines="0" zoomScale="72" zoomScaleNormal="115" workbookViewId="0">
      <selection activeCell="Q21" sqref="Q21"/>
    </sheetView>
  </sheetViews>
  <sheetFormatPr defaultRowHeight="14.25" x14ac:dyDescent="0.45"/>
  <sheetData>
    <row r="1" spans="1:15" x14ac:dyDescent="0.45">
      <c r="A1" s="7" t="s">
        <v>50</v>
      </c>
      <c r="B1" s="8"/>
      <c r="C1" s="8"/>
      <c r="D1" s="8"/>
      <c r="E1" s="8"/>
      <c r="F1" s="8"/>
      <c r="G1" s="8"/>
      <c r="H1" s="8"/>
      <c r="I1" s="8"/>
      <c r="J1" s="8"/>
      <c r="K1" s="8"/>
      <c r="L1" s="8"/>
      <c r="M1" s="8"/>
      <c r="N1" s="8"/>
      <c r="O1" s="8"/>
    </row>
    <row r="2" spans="1:15" x14ac:dyDescent="0.45">
      <c r="A2" s="8"/>
      <c r="B2" s="8"/>
      <c r="C2" s="8"/>
      <c r="D2" s="8"/>
      <c r="E2" s="8"/>
      <c r="F2" s="8"/>
      <c r="G2" s="8"/>
      <c r="H2" s="8"/>
      <c r="I2" s="8"/>
      <c r="J2" s="8"/>
      <c r="K2" s="8"/>
      <c r="L2" s="8"/>
      <c r="M2" s="8"/>
      <c r="N2" s="8"/>
      <c r="O2" s="8"/>
    </row>
    <row r="3" spans="1:15" x14ac:dyDescent="0.45">
      <c r="A3" s="8"/>
      <c r="B3" s="8"/>
      <c r="C3" s="8"/>
      <c r="D3" s="8"/>
      <c r="E3" s="8"/>
      <c r="F3" s="8"/>
      <c r="G3" s="8"/>
      <c r="H3" s="8"/>
      <c r="I3" s="8"/>
      <c r="J3" s="8"/>
      <c r="K3" s="8"/>
      <c r="L3" s="8"/>
      <c r="M3" s="8"/>
      <c r="N3" s="8"/>
      <c r="O3" s="8"/>
    </row>
    <row r="4" spans="1:15" x14ac:dyDescent="0.45">
      <c r="A4" s="8"/>
      <c r="B4" s="8"/>
      <c r="C4" s="8"/>
      <c r="D4" s="8"/>
      <c r="E4" s="8"/>
      <c r="F4" s="8"/>
      <c r="G4" s="8"/>
      <c r="H4" s="8"/>
      <c r="I4" s="8"/>
      <c r="J4" s="8"/>
      <c r="K4" s="8"/>
      <c r="L4" s="8"/>
      <c r="M4" s="8"/>
      <c r="N4" s="8"/>
      <c r="O4" s="8"/>
    </row>
    <row r="5" spans="1:15" x14ac:dyDescent="0.45">
      <c r="A5" s="8"/>
      <c r="B5" s="8"/>
      <c r="C5" s="8"/>
      <c r="D5" s="8"/>
      <c r="E5" s="8"/>
      <c r="F5" s="8"/>
      <c r="G5" s="8"/>
      <c r="H5" s="8"/>
      <c r="I5" s="8"/>
      <c r="J5" s="8"/>
      <c r="K5" s="8"/>
      <c r="L5" s="8"/>
      <c r="M5" s="8"/>
      <c r="N5" s="8"/>
      <c r="O5" s="8"/>
    </row>
    <row r="6" spans="1:15" x14ac:dyDescent="0.45">
      <c r="A6" s="8"/>
      <c r="B6" s="8"/>
      <c r="C6" s="8"/>
      <c r="D6" s="8"/>
      <c r="E6" s="8"/>
      <c r="F6" s="8"/>
      <c r="G6" s="8"/>
      <c r="H6" s="8"/>
      <c r="I6" s="8"/>
      <c r="J6" s="8"/>
      <c r="K6" s="8"/>
      <c r="L6" s="8"/>
      <c r="M6" s="8"/>
      <c r="N6" s="8"/>
      <c r="O6" s="8"/>
    </row>
    <row r="7" spans="1:15" x14ac:dyDescent="0.45">
      <c r="A7" s="8"/>
      <c r="B7" s="8"/>
      <c r="C7" s="8"/>
      <c r="D7" s="8"/>
      <c r="E7" s="8"/>
      <c r="F7" s="8"/>
      <c r="G7" s="8"/>
      <c r="H7" s="8"/>
      <c r="I7" s="8"/>
      <c r="J7" s="8"/>
      <c r="K7" s="8"/>
      <c r="L7" s="8"/>
      <c r="M7" s="8"/>
      <c r="N7" s="8"/>
      <c r="O7" s="8"/>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Rohan Regmi</cp:lastModifiedBy>
  <dcterms:created xsi:type="dcterms:W3CDTF">2022-03-18T02:50:57Z</dcterms:created>
  <dcterms:modified xsi:type="dcterms:W3CDTF">2026-01-07T10:07:00Z</dcterms:modified>
</cp:coreProperties>
</file>